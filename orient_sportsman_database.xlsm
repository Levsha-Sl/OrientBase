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e\Desktop\Для СО\OrientBase\"/>
    </mc:Choice>
  </mc:AlternateContent>
  <xr:revisionPtr revIDLastSave="0" documentId="13_ncr:1_{642B30B6-6F01-4EF6-B064-53C388547EE6}" xr6:coauthVersionLast="47" xr6:coauthVersionMax="47" xr10:uidLastSave="{00000000-0000-0000-0000-000000000000}"/>
  <bookViews>
    <workbookView xWindow="18735" yWindow="1125" windowWidth="9825" windowHeight="12990" tabRatio="804" activeTab="1" xr2:uid="{00000000-000D-0000-FFFF-FFFF00000000}"/>
  </bookViews>
  <sheets>
    <sheet name="Разряды" sheetId="621" r:id="rId1"/>
    <sheet name="База" sheetId="624" r:id="rId2"/>
    <sheet name="Base" sheetId="620" state="veryHidden" r:id="rId3"/>
    <sheet name="Ranks" sheetId="613" state="veryHidden" r:id="rId4"/>
  </sheets>
  <functionGroups builtInGroupCount="19"/>
  <definedNames>
    <definedName name="_xlnm._FilterDatabase" localSheetId="0" hidden="1">Разряды!$A$1:$C$1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6" i="624" l="1"/>
  <c r="F6" i="6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2463040-DCD0-466C-BF7C-02E6D5DC0598}" name="Export_Data" type="6" refreshedVersion="0" background="1">
    <textPr prompt="0" sourceFile="C:\Users\Home\Desktop\Для СО\Export_Data.csv" decimal="," thousands=" ">
      <textFields>
        <textField/>
      </textFields>
    </textPr>
  </connection>
  <connection id="2" xr16:uid="{86385437-2C6B-4014-8282-ECB146AA8FF2}" name="Export_Data1" type="6" refreshedVersion="0" background="1">
    <textPr prompt="0" sourceFile="C:\Users\Home\Desktop\Для СО\Export_Data.csv" decimal="," thousands=" ">
      <textFields>
        <textField/>
      </textFields>
    </textPr>
  </connection>
  <connection id="3" xr16:uid="{55714B78-B995-41A3-BE45-0974A4A5D52B}" name="Export_Data2" type="6" refreshedVersion="0" background="1">
    <textPr prompt="0" sourceFile="C:\Users\Home\Desktop\Для СО\Export_Data.csv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<sst xmlns="http://schemas.openxmlformats.org/spreadsheetml/2006/main" count="40" uniqueCount="25">
  <si>
    <t>бр</t>
  </si>
  <si>
    <t>IIIю</t>
  </si>
  <si>
    <t>IIю</t>
  </si>
  <si>
    <t>Iю</t>
  </si>
  <si>
    <t>III</t>
  </si>
  <si>
    <t>II</t>
  </si>
  <si>
    <t>I</t>
  </si>
  <si>
    <t>КМС</t>
  </si>
  <si>
    <t>МС</t>
  </si>
  <si>
    <t>МСМК</t>
  </si>
  <si>
    <t>Гордон Фриман</t>
  </si>
  <si>
    <t xml:space="preserve"> </t>
  </si>
  <si>
    <t>29.05.2026</t>
  </si>
  <si>
    <t>ID</t>
  </si>
  <si>
    <t>Разряд</t>
  </si>
  <si>
    <t>Период (.г)</t>
  </si>
  <si>
    <t>id</t>
  </si>
  <si>
    <t>ФИО</t>
  </si>
  <si>
    <t>День рож.</t>
  </si>
  <si>
    <t>дата_раз.</t>
  </si>
  <si>
    <t>окончание</t>
  </si>
  <si>
    <t>дата_страх.</t>
  </si>
  <si>
    <t>период</t>
  </si>
  <si>
    <t>окончaние</t>
  </si>
  <si>
    <t>изменено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</si>
</sst>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64" fontId="1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</cellXfs>
  <cellStyles count="1">
    <cellStyle name="Обычный" xfId="0" builtinId="0"/>
  </cellStyles>
  <dxfs count="18">
    <dxf>
      <numFmt numFmtId="164" formatCode="dd\.mm\.yyyy"/>
      <alignment horizontal="left" vertical="bottom" textRotation="0" wrapText="0" indent="0" justifyLastLine="0" shrinkToFit="0" readingOrder="0"/>
    </dxf>
    <dxf>
      <numFmt numFmtId="164" formatCode="dd\.mm\.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dd\.mm\.yyyy"/>
      <alignment horizontal="left" vertical="bottom" textRotation="0" wrapText="0" indent="0" justifyLastLine="0" shrinkToFit="0" readingOrder="0"/>
    </dxf>
    <dxf>
      <numFmt numFmtId="164" formatCode="dd\.mm\.yyyy"/>
      <alignment horizontal="left" vertical="bottom" textRotation="0" wrapText="0" indent="0" justifyLastLine="0" shrinkToFit="0" readingOrder="0"/>
    </dxf>
    <dxf>
      <numFmt numFmtId="164" formatCode="dd\.mm\.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dd\.mm\.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bottom" textRotation="0" wrapText="0" indent="0" justifyLastLine="0" shrinkToFit="0" readingOrder="0"/>
    </dxf>
    <dxf>
      <font>
        <color rgb="FFFFFFFF"/>
      </font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FF99"/>
        </patternFill>
      </fill>
    </dxf>
    <dxf>
      <fill>
        <patternFill>
          <bgColor rgb="FFFFC0C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DDA0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Импорт c оргео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B00614-6C53-46D7-A7F9-E9C9EB083431}" name="List sportsman" displayName="List_sportsman" ref="A5:J6" totalsRowShown="0" headerRowDxfId="11" dataDxfId="10">
  <autoFilter ref="A5:J6" xr:uid="{AFB00614-6C53-46D7-A7F9-E9C9EB083431}"/>
  <tableColumns count="10">
    <tableColumn id="1" xr3:uid="{726B6382-DE44-46F5-B510-3B036D8603D9}" name="id" dataDxfId="9"/>
    <tableColumn id="2" xr3:uid="{C4545A39-67DB-44D9-820D-DF734EB529C6}" name="ФИО" dataDxfId="8"/>
    <tableColumn id="3" xr3:uid="{AA05F703-6780-4EA1-928F-7982D3F6B1EF}" name="День рож." dataDxfId="7"/>
    <tableColumn id="4" xr3:uid="{AE8F7797-E6B4-4996-86A5-04F66BC311E5}" name="Разряд" dataDxfId="6"/>
    <tableColumn id="5" xr3:uid="{00241878-3D4B-46B2-ADBD-308073C66FF3}" name="дата_раз." dataDxfId="5"/>
    <tableColumn id="6" xr3:uid="{F94DAB5F-8D27-4240-ABFD-5419A4B15AB5}" name="окончание" dataDxfId="4">
      <calculatedColumnFormula>BaseSheet.CalculateRankExpiry(List_sportsman[[#This Row],[дата_раз.]], List_sportsman[[#This Row],[Разряд]])</calculatedColumnFormula>
    </tableColumn>
    <tableColumn id="7" xr3:uid="{71879CCB-78CF-48ED-B1F0-1EA6CF22119B}" name="дата_страх." dataDxfId="3"/>
    <tableColumn id="8" xr3:uid="{801CF568-0E5A-4F83-9828-AEE08D2E4692}" name="период" dataDxfId="2"/>
    <tableColumn id="9" xr3:uid="{45AAC5BF-F61C-46B3-BE19-BDAD1F49C631}" name="окончaние" dataDxfId="1">
      <calculatedColumnFormula>BaseSheet.CalculateInsuranceExpiry(List_sportsman[[#This Row],[дата_страх.]], List_sportsman[[#This Row],[период]])</calculatedColumnFormula>
    </tableColumn>
    <tableColumn id="10" xr3:uid="{52A04201-1338-4FF9-897F-3A73FC93174D}" name="изменено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E2B8D-D631-4011-AF36-3F69309D4878}">
  <sheetPr codeName="Лист3"/>
  <dimension ref="A1:C11"/>
  <sheetViews>
    <sheetView workbookViewId="0">
      <selection activeCell="D25" sqref="D25"/>
    </sheetView>
  </sheetViews>
  <sheetFormatPr defaultRowHeight="15" x14ac:dyDescent="0.25"/>
  <cols>
    <col min="1" max="1" width="5.140625" style="3" bestFit="1" customWidth="1"/>
    <col min="2" max="2" width="9.7109375" style="3" bestFit="1" customWidth="1"/>
    <col min="3" max="3" width="13.5703125" style="3" bestFit="1" customWidth="1"/>
  </cols>
  <sheetData>
    <row r="1" spans="1:3" x14ac:dyDescent="0.25">
      <c r="A1" s="2" t="s">
        <v>13</v>
      </c>
      <c r="B1" s="2" t="s">
        <v>14</v>
      </c>
      <c r="C1" s="2" t="s">
        <v>15</v>
      </c>
    </row>
    <row r="2" spans="1:3" x14ac:dyDescent="0.25">
      <c r="A2" s="3">
        <v>1</v>
      </c>
      <c r="B2" s="3" t="s">
        <v>0</v>
      </c>
      <c r="C2" s="3">
        <v>0</v>
      </c>
    </row>
    <row r="3" spans="1:3" x14ac:dyDescent="0.25">
      <c r="A3" s="3">
        <v>2</v>
      </c>
      <c r="B3" s="3" t="s">
        <v>1</v>
      </c>
      <c r="C3" s="3">
        <v>2</v>
      </c>
    </row>
    <row r="4" spans="1:3" x14ac:dyDescent="0.25">
      <c r="A4" s="3">
        <v>3</v>
      </c>
      <c r="B4" s="3" t="s">
        <v>2</v>
      </c>
      <c r="C4" s="3">
        <v>2</v>
      </c>
    </row>
    <row r="5" spans="1:3" x14ac:dyDescent="0.25">
      <c r="A5" s="3">
        <v>4</v>
      </c>
      <c r="B5" s="3" t="s">
        <v>3</v>
      </c>
      <c r="C5" s="3">
        <v>2</v>
      </c>
    </row>
    <row r="6" spans="1:3" x14ac:dyDescent="0.25">
      <c r="A6" s="3">
        <v>5</v>
      </c>
      <c r="B6" s="3" t="s">
        <v>4</v>
      </c>
      <c r="C6" s="3">
        <v>2</v>
      </c>
    </row>
    <row r="7" spans="1:3" x14ac:dyDescent="0.25">
      <c r="A7" s="3">
        <v>6</v>
      </c>
      <c r="B7" s="3" t="s">
        <v>5</v>
      </c>
      <c r="C7" s="3">
        <v>2</v>
      </c>
    </row>
    <row r="8" spans="1:3" x14ac:dyDescent="0.25">
      <c r="A8" s="3">
        <v>7</v>
      </c>
      <c r="B8" s="3" t="s">
        <v>6</v>
      </c>
      <c r="C8" s="3">
        <v>2</v>
      </c>
    </row>
    <row r="9" spans="1:3" x14ac:dyDescent="0.25">
      <c r="A9" s="3">
        <v>8</v>
      </c>
      <c r="B9" s="3" t="s">
        <v>7</v>
      </c>
      <c r="C9" s="3">
        <v>2</v>
      </c>
    </row>
    <row r="10" spans="1:3" x14ac:dyDescent="0.25">
      <c r="A10" s="3">
        <v>9</v>
      </c>
      <c r="B10" s="3" t="s">
        <v>8</v>
      </c>
      <c r="C10" s="3">
        <v>3</v>
      </c>
    </row>
    <row r="11" spans="1:3" x14ac:dyDescent="0.25">
      <c r="A11" s="3">
        <v>10</v>
      </c>
      <c r="B11" s="3" t="s">
        <v>9</v>
      </c>
      <c r="C11" s="3">
        <v>0</v>
      </c>
    </row>
  </sheetData>
  <autoFilter ref="A1:C1" xr:uid="{571E2B8D-D631-4011-AF36-3F69309D4878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ksSheet.BtnSave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57E7-BDF6-4EC0-876D-61EC819EB77D}">
  <sheetPr codeName="Лист5"/>
  <dimension ref="A5:J6"/>
  <sheetViews>
    <sheetView tabSelected="1" workbookViewId="0">
      <selection activeCell="E10" sqref="E10"/>
    </sheetView>
  </sheetViews>
  <sheetFormatPr defaultRowHeight="15" x14ac:dyDescent="0.25"/>
  <cols>
    <col min="1" max="1" width="5" style="3" bestFit="1" customWidth="1"/>
    <col min="2" max="2" width="15.42578125" style="3" bestFit="1" customWidth="1"/>
    <col min="3" max="3" width="12.85546875" style="3" bestFit="1" customWidth="1"/>
    <col min="4" max="4" width="9.7109375" style="3" bestFit="1" customWidth="1"/>
    <col min="5" max="5" width="12" style="3" bestFit="1" customWidth="1"/>
    <col min="6" max="6" width="13.140625" style="3" bestFit="1" customWidth="1"/>
    <col min="7" max="7" width="13.85546875" style="3" bestFit="1" customWidth="1"/>
    <col min="8" max="8" width="10.28515625" style="3" bestFit="1" customWidth="1"/>
    <col min="9" max="9" width="13.140625" style="3" bestFit="1" customWidth="1"/>
    <col min="10" max="10" width="12.5703125" style="3" bestFit="1" customWidth="1"/>
  </cols>
  <sheetData>
    <row r="5" spans="1:10" x14ac:dyDescent="0.25">
      <c r="A5" s="2" t="s">
        <v>16</v>
      </c>
      <c r="B5" s="2" t="s">
        <v>17</v>
      </c>
      <c r="C5" s="4" t="s">
        <v>18</v>
      </c>
      <c r="D5" s="2" t="s">
        <v>14</v>
      </c>
      <c r="E5" s="4" t="s">
        <v>19</v>
      </c>
      <c r="F5" s="4" t="s">
        <v>20</v>
      </c>
      <c r="G5" s="4" t="s">
        <v>21</v>
      </c>
      <c r="H5" s="2" t="s">
        <v>22</v>
      </c>
      <c r="I5" s="4" t="s">
        <v>23</v>
      </c>
      <c r="J5" s="4" t="s">
        <v>24</v>
      </c>
    </row>
    <row r="6" spans="1:10" x14ac:dyDescent="0.25">
      <c r="A6" s="3">
        <v>1</v>
      </c>
      <c r="B6" s="3" t="s">
        <v>10</v>
      </c>
      <c r="C6" s="5">
        <v>30243</v>
      </c>
      <c r="D6" s="3" t="s">
        <v>9</v>
      </c>
      <c r="E6" s="5"/>
      <c r="F6" s="5" t="str">
        <f>BaseSheet.CalculateRankExpiry(List_sportsman[[#This Row],[дата_раз.]], List_sportsman[[#This Row],[Разряд]])</f>
        <v/>
      </c>
      <c r="G6" s="5">
        <v>46023</v>
      </c>
      <c r="H6" s="3">
        <v>365</v>
      </c>
      <c r="I6" s="5">
        <f>BaseSheet.CalculateInsuranceExpiry(List_sportsman[[#This Row],[дата_страх.]], List_sportsman[[#This Row],[период]])</f>
        <v>46387</v>
      </c>
      <c r="J6" s="5" t="s">
        <v>12</v>
      </c>
    </row>
  </sheetData>
  <conditionalFormatting sqref="D6:F6">
    <cfRule type="expression" dxfId="17" priority="2" stopIfTrue="1">
      <formula>AND($F6&gt;=TODAY(),$F6&lt;=TODAY()+10)</formula>
    </cfRule>
    <cfRule type="expression" dxfId="16" priority="3" stopIfTrue="1">
      <formula>AND($F6&gt;TODAY()+10,$J6&gt;=TODAY()-3)</formula>
    </cfRule>
  </conditionalFormatting>
  <conditionalFormatting sqref="G6:I6">
    <cfRule type="expression" dxfId="15" priority="4" stopIfTrue="1">
      <formula>OR($I6&lt;=TODAY(),$I6="")</formula>
    </cfRule>
    <cfRule type="expression" dxfId="14" priority="5" stopIfTrue="1">
      <formula>AND($I6&gt;=TODAY(),$I6&lt;=TODAY()+10)</formula>
    </cfRule>
    <cfRule type="expression" dxfId="13" priority="6" stopIfTrue="1">
      <formula>AND($I6&gt;TODAY()+10,$J6&gt;=TODAY()-3)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aseSheet.BtnSave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aseSheet.BtnImportOrgeo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5E521667-E7A6-4DFE-8E70-D45F2D9E4B3B}">
            <xm:f>AND(VLOOKUP($D6,Ranks!$A$1:$B$10,2,0)&lt;&gt;0,OR($F6&lt;=TODAY(),$F6=""))</xm:f>
            <x14:dxf>
              <font>
                <color rgb="FFFFFFFF"/>
              </font>
              <fill>
                <patternFill>
                  <bgColor rgb="FFC00000"/>
                </patternFill>
              </fill>
            </x14:dxf>
          </x14:cfRule>
          <xm:sqref>D6:F6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1354B-E9AE-4EE8-928B-512C3F8BE4D6}">
  <sheetPr codeName="Лист7"/>
  <dimension ref="A1:G15"/>
  <sheetViews>
    <sheetView workbookViewId="0">
      <selection activeCell="C23" sqref="C23"/>
    </sheetView>
  </sheetViews>
  <sheetFormatPr defaultRowHeight="15" x14ac:dyDescent="0.25"/>
  <cols>
    <col min="1" max="1" width="16.28515625" customWidth="1"/>
    <col min="2" max="2" width="18.28515625" customWidth="1"/>
    <col min="3" max="3" width="13.85546875" customWidth="1"/>
    <col min="4" max="4" width="14" customWidth="1"/>
    <col min="5" max="5" width="12" customWidth="1"/>
    <col min="6" max="6" width="13.7109375" customWidth="1"/>
    <col min="7" max="7" width="12.28515625" customWidth="1"/>
  </cols>
  <sheetData>
    <row r="1" spans="1:7" x14ac:dyDescent="0.25">
      <c r="A1" t="s">
        <v>10</v>
      </c>
      <c r="B1" s="1">
        <v>30243</v>
      </c>
      <c r="C1" t="s">
        <v>9</v>
      </c>
      <c r="D1" s="1"/>
      <c r="E1" s="1">
        <v>46023</v>
      </c>
      <c r="F1">
        <v>365</v>
      </c>
      <c r="G1" s="1" t="s">
        <v>12</v>
      </c>
    </row>
    <row r="2" spans="1:7" x14ac:dyDescent="0.25">
      <c r="B2" s="1"/>
      <c r="D2" s="1"/>
      <c r="E2" s="1"/>
      <c r="G2" s="1"/>
    </row>
    <row r="3" spans="1:7" x14ac:dyDescent="0.25">
      <c r="B3" s="1"/>
      <c r="D3" s="1"/>
      <c r="E3" s="1"/>
      <c r="G3" s="1"/>
    </row>
    <row r="4" spans="1:7" x14ac:dyDescent="0.25">
      <c r="B4" s="1"/>
      <c r="D4" s="1"/>
      <c r="E4" s="1"/>
      <c r="G4" s="1"/>
    </row>
    <row r="15" spans="1:7" x14ac:dyDescent="0.25">
      <c r="B15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FF476-2235-4644-AD4D-5D8961ABB42C}">
  <sheetPr codeName="Лист1"/>
  <dimension ref="A1:B10"/>
  <sheetViews>
    <sheetView workbookViewId="0"/>
  </sheetViews>
  <sheetFormatPr defaultRowHeight="15" x14ac:dyDescent="0.25"/>
  <sheetData>
    <row r="1" spans="1:2" x14ac:dyDescent="0.25">
      <c r="A1" t="s">
        <v>0</v>
      </c>
      <c r="B1">
        <v>0</v>
      </c>
    </row>
    <row r="2" spans="1:2" x14ac:dyDescent="0.25">
      <c r="A2" t="s">
        <v>1</v>
      </c>
      <c r="B2">
        <v>2</v>
      </c>
    </row>
    <row r="3" spans="1:2" x14ac:dyDescent="0.25">
      <c r="A3" t="s">
        <v>2</v>
      </c>
      <c r="B3">
        <v>2</v>
      </c>
    </row>
    <row r="4" spans="1:2" x14ac:dyDescent="0.25">
      <c r="A4" t="s">
        <v>3</v>
      </c>
      <c r="B4">
        <v>2</v>
      </c>
    </row>
    <row r="5" spans="1:2" x14ac:dyDescent="0.25">
      <c r="A5" t="s">
        <v>4</v>
      </c>
      <c r="B5">
        <v>2</v>
      </c>
    </row>
    <row r="6" spans="1:2" x14ac:dyDescent="0.25">
      <c r="A6" t="s">
        <v>5</v>
      </c>
      <c r="B6">
        <v>2</v>
      </c>
    </row>
    <row r="7" spans="1:2" x14ac:dyDescent="0.25">
      <c r="A7" t="s">
        <v>6</v>
      </c>
      <c r="B7">
        <v>2</v>
      </c>
    </row>
    <row r="8" spans="1:2" x14ac:dyDescent="0.25">
      <c r="A8" t="s">
        <v>7</v>
      </c>
      <c r="B8">
        <v>2</v>
      </c>
    </row>
    <row r="9" spans="1:2" x14ac:dyDescent="0.25">
      <c r="A9" t="s">
        <v>8</v>
      </c>
      <c r="B9">
        <v>3</v>
      </c>
    </row>
    <row r="10" spans="1:2" x14ac:dyDescent="0.25">
      <c r="A10" t="s">
        <v>9</v>
      </c>
      <c r="B1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Разряды</vt:lpstr>
      <vt:lpstr>База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Татьяна</dc:creator>
  <cp:lastModifiedBy>Slava Shirnin</cp:lastModifiedBy>
  <dcterms:created xsi:type="dcterms:W3CDTF">2015-06-05T18:17:20Z</dcterms:created>
  <dcterms:modified xsi:type="dcterms:W3CDTF">2026-06-04T10:21:13Z</dcterms:modified>
</cp:coreProperties>
</file>